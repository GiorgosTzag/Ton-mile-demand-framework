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-Mile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<sst xmlns="http://schemas.openxmlformats.org/spreadsheetml/2006/main" count="191" uniqueCount="67">
  <si>
    <t xml:space="preserve">Tanker Ton-Mile Demand — 2025 Baseline Scenario Model</t>
  </si>
  <si>
    <t xml:space="preserve">Ton-miles = cargo x distance. Selected major lanes (~72% of Hormuz oil flows), not the whole market. Two physical levers; every row runs the same flag-driven formula.</t>
  </si>
  <si>
    <t xml:space="preserve">SCENARIO LEVERS</t>
  </si>
  <si>
    <t xml:space="preserve">Red Sea rerouting  (share of exposed vessels diverting via Cape, 0–100%)</t>
  </si>
  <si>
    <t xml:space="preserve">Net Gulf export loss  (Hormuz: share of Gulf-origin cargo lost, 0–100%)</t>
  </si>
  <si>
    <t xml:space="preserve">↑ Yellow = inputs (type e.g. 50%). Red Sea drives distance; Gulf loss drives volume.</t>
  </si>
  <si>
    <t xml:space="preserve">SCENARIO OUTPUT  (bn tonne-miles)</t>
  </si>
  <si>
    <t xml:space="preserve">Baseline (levers off)</t>
  </si>
  <si>
    <t xml:space="preserve">Scenario (as set)</t>
  </si>
  <si>
    <t xml:space="preserve">Δ ton-miles</t>
  </si>
  <si>
    <t xml:space="preserve">Δ %</t>
  </si>
  <si>
    <t xml:space="preserve">ID</t>
  </si>
  <si>
    <t xml:space="preserve">Segment</t>
  </si>
  <si>
    <t xml:space="preserve">Trade</t>
  </si>
  <si>
    <t xml:space="preserve">Origin</t>
  </si>
  <si>
    <t xml:space="preserve">Destination</t>
  </si>
  <si>
    <t xml:space="preserve">Volume
(mb/d)</t>
  </si>
  <si>
    <t xml:space="preserve">Dist base
(nm)</t>
  </si>
  <si>
    <t xml:space="preserve">Dist Cape
(nm)</t>
  </si>
  <si>
    <t xml:space="preserve">RedSea</t>
  </si>
  <si>
    <t xml:space="preserve">Hormuz</t>
  </si>
  <si>
    <t xml:space="preserve">bbl/t</t>
  </si>
  <si>
    <t xml:space="preserve">Eff. vol
(mb/d)</t>
  </si>
  <si>
    <t xml:space="preserve">Eff. dist
(nm)</t>
  </si>
  <si>
    <t xml:space="preserve">Tonnes/yr
(m)</t>
  </si>
  <si>
    <t xml:space="preserve">Scenario
TM (bn)</t>
  </si>
  <si>
    <t xml:space="preserve">Baseline
TM (bn)</t>
  </si>
  <si>
    <t xml:space="preserve">VLCC</t>
  </si>
  <si>
    <t xml:space="preserve">dirty</t>
  </si>
  <si>
    <t xml:space="preserve">Middle East Gulf</t>
  </si>
  <si>
    <t xml:space="preserve">China</t>
  </si>
  <si>
    <t xml:space="preserve">N</t>
  </si>
  <si>
    <t xml:space="preserve">Y</t>
  </si>
  <si>
    <t xml:space="preserve">Japan/Korea</t>
  </si>
  <si>
    <t xml:space="preserve">India</t>
  </si>
  <si>
    <t xml:space="preserve">Suezmax</t>
  </si>
  <si>
    <t xml:space="preserve">Europe</t>
  </si>
  <si>
    <t xml:space="preserve">West Africa</t>
  </si>
  <si>
    <t xml:space="preserve">US Gulf</t>
  </si>
  <si>
    <t xml:space="preserve">Brazil/Guyana</t>
  </si>
  <si>
    <t xml:space="preserve">Latin America</t>
  </si>
  <si>
    <t xml:space="preserve">Aframax</t>
  </si>
  <si>
    <t xml:space="preserve">North Sea</t>
  </si>
  <si>
    <t xml:space="preserve">NW Europe</t>
  </si>
  <si>
    <t xml:space="preserve">Russia Baltic</t>
  </si>
  <si>
    <t xml:space="preserve">Russia Pacific</t>
  </si>
  <si>
    <t xml:space="preserve">Russia Black Sea</t>
  </si>
  <si>
    <t xml:space="preserve">Caribbean</t>
  </si>
  <si>
    <t xml:space="preserve">Mediterranean</t>
  </si>
  <si>
    <t xml:space="preserve">LR2</t>
  </si>
  <si>
    <t xml:space="preserve">clean</t>
  </si>
  <si>
    <t xml:space="preserve">East (Asia)</t>
  </si>
  <si>
    <t xml:space="preserve">LR1</t>
  </si>
  <si>
    <t xml:space="preserve">East Africa</t>
  </si>
  <si>
    <t xml:space="preserve">MR</t>
  </si>
  <si>
    <t xml:space="preserve">NW Europe (ARA)</t>
  </si>
  <si>
    <t xml:space="preserve">Intra-Asia</t>
  </si>
  <si>
    <t xml:space="preserve">SE Asia</t>
  </si>
  <si>
    <t xml:space="preserve">Africa/Turkey</t>
  </si>
  <si>
    <t xml:space="preserve">SUMMARY</t>
  </si>
  <si>
    <t xml:space="preserve">Ton-miles (bn)</t>
  </si>
  <si>
    <t xml:space="preserve">Share of modelled</t>
  </si>
  <si>
    <t xml:space="preserve">TOTAL (scenario)</t>
  </si>
  <si>
    <t xml:space="preserve">Crude (dirty)</t>
  </si>
  <si>
    <t xml:space="preserve">Clean (products)</t>
  </si>
  <si>
    <t xml:space="preserve">Shares are of MODELLED ton-miles (this 25-lane sample), NOT the global tanker market. Sample skews to crude (captures ~80% of Hormuz crude vs ~half of Hormuz products).</t>
  </si>
  <si>
    <t xml:space="preserve">Source: illustrative major-lane volumes (Energy Institute / IEA / EIA order of magnitude, 2025 baseline); one-way laden distances approximate. Not freight rates — demand (cargo-work) only.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</si>
</sst>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"/>
    <numFmt numFmtId="167" formatCode="\+0.0%;\-0.0%"/>
    <numFmt numFmtId="168" formatCode="#,##0.0"/>
    <numFmt numFmtId="169" formatCode="0.00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763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E7C86"/>
      <name val="Arial"/>
      <family val="0"/>
      <charset val="1"/>
    </font>
    <font>
      <i val="true"/>
      <sz val="8"/>
      <color rgb="FFC7632E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3F5"/>
        <bgColor rgb="FFFFFFFF"/>
      </patternFill>
    </fill>
    <fill>
      <patternFill patternType="solid">
        <fgColor rgb="FF0B1F2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C"/>
      </left>
      <right style="thin">
        <color rgb="FFB8C4CC"/>
      </right>
      <top style="thin">
        <color rgb="FFB8C4CC"/>
      </top>
      <bottom style="thin">
        <color rgb="FFB8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8C4CC"/>
      <rgbColor rgb="FF878787"/>
      <rgbColor rgb="FF9999FF"/>
      <rgbColor rgb="FF993366"/>
      <rgbColor rgb="FFEEF3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7632E"/>
      <rgbColor rgb="FF777777"/>
      <rgbColor rgb="FF969696"/>
      <rgbColor rgb="FF003366"/>
      <rgbColor rgb="FF339966"/>
      <rgbColor rgb="FF0B1F2A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ton-mile demand by lane (bn)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'Ton-Mile Model'!O15</c:f>
              <c:strCache>
                <c:ptCount val="1"/>
                <c:pt idx="0">
                  <c:v>Scenario
TM (bn)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'Ton-Mile Model'!$E$16:$E$40</c:f>
              <c:strCache>
                <c:ptCount val="25"/>
                <c:pt idx="0">
                  <c:v>China</c:v>
                </c:pt>
                <c:pt idx="1">
                  <c:v>Japan/Korea</c:v>
                </c:pt>
                <c:pt idx="2">
                  <c:v>India</c:v>
                </c:pt>
                <c:pt idx="3">
                  <c:v>Europe</c:v>
                </c:pt>
                <c:pt idx="4">
                  <c:v>China</c:v>
                </c:pt>
                <c:pt idx="5">
                  <c:v>Europe</c:v>
                </c:pt>
                <c:pt idx="6">
                  <c:v>China</c:v>
                </c:pt>
                <c:pt idx="7">
                  <c:v>Europe</c:v>
                </c:pt>
                <c:pt idx="8">
                  <c:v>China</c:v>
                </c:pt>
                <c:pt idx="9">
                  <c:v>US Gulf</c:v>
                </c:pt>
                <c:pt idx="10">
                  <c:v>NW Europe</c:v>
                </c:pt>
                <c:pt idx="11">
                  <c:v>India</c:v>
                </c:pt>
                <c:pt idx="12">
                  <c:v>China</c:v>
                </c:pt>
                <c:pt idx="13">
                  <c:v>India</c:v>
                </c:pt>
                <c:pt idx="14">
                  <c:v>US Gulf</c:v>
                </c:pt>
                <c:pt idx="15">
                  <c:v>Mediterranean</c:v>
                </c:pt>
                <c:pt idx="16">
                  <c:v>Europe</c:v>
                </c:pt>
                <c:pt idx="17">
                  <c:v>East (Asia)</c:v>
                </c:pt>
                <c:pt idx="18">
                  <c:v>East Africa</c:v>
                </c:pt>
                <c:pt idx="19">
                  <c:v>Europe</c:v>
                </c:pt>
                <c:pt idx="20">
                  <c:v>Latin America</c:v>
                </c:pt>
                <c:pt idx="21">
                  <c:v>Europe</c:v>
                </c:pt>
                <c:pt idx="22">
                  <c:v>West Africa</c:v>
                </c:pt>
                <c:pt idx="23">
                  <c:v>SE Asia</c:v>
                </c:pt>
                <c:pt idx="24">
                  <c:v>Africa/Turkey</c:v>
                </c:pt>
              </c:strCache>
            </c:strRef>
          </c:cat>
          <c:val>
            <c:numRef>
              <c:f>'Ton-Mile Model'!$O$16:$O$40</c:f>
              <c:numCache>
                <c:formatCode>#,##0.0</c:formatCode>
                <c:ptCount val="25"/>
                <c:pt idx="0">
                  <c:v>1523.7380627558</c:v>
                </c:pt>
                <c:pt idx="1">
                  <c:v>1380.32742155525</c:v>
                </c:pt>
                <c:pt idx="2">
                  <c:v>149.386084583902</c:v>
                </c:pt>
                <c:pt idx="3">
                  <c:v>191.214188267394</c:v>
                </c:pt>
                <c:pt idx="4">
                  <c:v>941.132332878581</c:v>
                </c:pt>
                <c:pt idx="5">
                  <c:v>291.302864938609</c:v>
                </c:pt>
                <c:pt idx="6">
                  <c:v>672.237380627558</c:v>
                </c:pt>
                <c:pt idx="7">
                  <c:v>298.772169167804</c:v>
                </c:pt>
                <c:pt idx="8">
                  <c:v>766.848567530696</c:v>
                </c:pt>
                <c:pt idx="9">
                  <c:v>89.6316507503411</c:v>
                </c:pt>
                <c:pt idx="10">
                  <c:v>23.9017735334243</c:v>
                </c:pt>
                <c:pt idx="11">
                  <c:v>637.380627557981</c:v>
                </c:pt>
                <c:pt idx="12">
                  <c:v>39.8362892223738</c:v>
                </c:pt>
                <c:pt idx="13">
                  <c:v>149.386084583902</c:v>
                </c:pt>
                <c:pt idx="14">
                  <c:v>37.3465211459754</c:v>
                </c:pt>
                <c:pt idx="15">
                  <c:v>27.8854024556617</c:v>
                </c:pt>
                <c:pt idx="16">
                  <c:v>262.8</c:v>
                </c:pt>
                <c:pt idx="17">
                  <c:v>175.65625</c:v>
                </c:pt>
                <c:pt idx="18">
                  <c:v>45.625</c:v>
                </c:pt>
                <c:pt idx="19">
                  <c:v>114.0625</c:v>
                </c:pt>
                <c:pt idx="20">
                  <c:v>114.0625</c:v>
                </c:pt>
                <c:pt idx="21">
                  <c:v>204.4</c:v>
                </c:pt>
                <c:pt idx="22">
                  <c:v>95.8125</c:v>
                </c:pt>
                <c:pt idx="23">
                  <c:v>136.875</c:v>
                </c:pt>
                <c:pt idx="24">
                  <c:v>164.25</c:v>
                </c:pt>
              </c:numCache>
            </c:numRef>
          </c:val>
        </c:ser>
        <c:gapWidth val="150"/>
        <c:overlap val="0"/>
        <c:axId val="87042141"/>
        <c:axId val="84306101"/>
      </c:barChart>
      <c:catAx>
        <c:axId val="87042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06101"/>
        <c:crosses val="autoZero"/>
        <c:auto val="1"/>
        <c:lblAlgn val="ctr"/>
        <c:lblOffset val="100"/>
        <c:noMultiLvlLbl val="0"/>
      </c:catAx>
      <c:valAx>
        <c:axId val="84306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42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13</xdr:row>
      <xdr:rowOff>160560</xdr:rowOff>
    </xdr:from>
    <xdr:to>
      <xdr:col>28</xdr:col>
      <xdr:colOff>113040</xdr:colOff>
      <xdr:row>35</xdr:row>
      <xdr:rowOff>98640</xdr:rowOff>
    </xdr:to>
    <xdr:graphicFrame>
      <xdr:nvGraphicFramePr>
        <xdr:cNvPr id="0" name="Chart 1"/>
        <xdr:cNvGraphicFramePr/>
      </xdr:nvGraphicFramePr>
      <xdr:xfrm>
        <a:off x="10972800" y="2666880"/>
        <a:ext cx="68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10" min="9" style="0" width="7"/>
    <col collapsed="false" customWidth="true" hidden="false" outlineLevel="0" max="11" min="11" style="0" width="6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6" min="15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H5" s="4" t="n">
        <v>0</v>
      </c>
    </row>
    <row r="6" customFormat="false" ht="15" hidden="false" customHeight="false" outlineLevel="0" collapsed="false">
      <c r="A6" s="0" t="s">
        <v>4</v>
      </c>
      <c r="H6" s="4" t="n">
        <v>0</v>
      </c>
    </row>
    <row r="7" customFormat="false" ht="15" hidden="false" customHeight="false" outlineLevel="0" collapsed="false">
      <c r="A7" s="5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6" t="s">
        <v>7</v>
      </c>
      <c r="C10" s="7" t="n">
        <f aca="false">SUM(P16:P40)</f>
        <v>8533.87117155525</v>
      </c>
    </row>
    <row r="11" customFormat="false" ht="15" hidden="false" customHeight="false" outlineLevel="0" collapsed="false">
      <c r="A11" s="6" t="s">
        <v>8</v>
      </c>
      <c r="C11" s="7" t="n">
        <f aca="false">SUM(O16:O40)</f>
        <v>8533.87117155525</v>
      </c>
    </row>
    <row r="12" customFormat="false" ht="15" hidden="false" customHeight="false" outlineLevel="0" collapsed="false">
      <c r="A12" s="6" t="s">
        <v>9</v>
      </c>
      <c r="C12" s="8" t="n">
        <f aca="false">C11-C10</f>
        <v>0</v>
      </c>
    </row>
    <row r="13" customFormat="false" ht="15" hidden="false" customHeight="false" outlineLevel="0" collapsed="false">
      <c r="A13" s="6" t="s">
        <v>10</v>
      </c>
      <c r="C13" s="9" t="n">
        <f aca="false">(C11-C10)/C10</f>
        <v>0</v>
      </c>
    </row>
    <row r="15" customFormat="false" ht="30" hidden="false" customHeight="true" outlineLevel="0" collapsed="false">
      <c r="A15" s="10" t="s">
        <v>11</v>
      </c>
      <c r="B15" s="10" t="s">
        <v>12</v>
      </c>
      <c r="C15" s="10" t="s">
        <v>13</v>
      </c>
      <c r="D15" s="10" t="s">
        <v>14</v>
      </c>
      <c r="E15" s="10" t="s">
        <v>15</v>
      </c>
      <c r="F15" s="10" t="s">
        <v>16</v>
      </c>
      <c r="G15" s="10" t="s">
        <v>17</v>
      </c>
      <c r="H15" s="10" t="s">
        <v>18</v>
      </c>
      <c r="I15" s="10" t="s">
        <v>19</v>
      </c>
      <c r="J15" s="10" t="s">
        <v>20</v>
      </c>
      <c r="K15" s="10" t="s">
        <v>21</v>
      </c>
      <c r="L15" s="10" t="s">
        <v>22</v>
      </c>
      <c r="M15" s="10" t="s">
        <v>23</v>
      </c>
      <c r="N15" s="10" t="s">
        <v>24</v>
      </c>
      <c r="O15" s="10" t="s">
        <v>25</v>
      </c>
      <c r="P15" s="10" t="s">
        <v>26</v>
      </c>
    </row>
    <row r="16" customFormat="false" ht="15" hidden="false" customHeight="false" outlineLevel="0" collapsed="false">
      <c r="A16" s="11" t="n">
        <v>1</v>
      </c>
      <c r="B16" s="11" t="s">
        <v>27</v>
      </c>
      <c r="C16" s="11" t="s">
        <v>28</v>
      </c>
      <c r="D16" s="11" t="s">
        <v>29</v>
      </c>
      <c r="E16" s="11" t="s">
        <v>30</v>
      </c>
      <c r="F16" s="12" t="n">
        <v>5.1</v>
      </c>
      <c r="G16" s="13" t="n">
        <v>6000</v>
      </c>
      <c r="H16" s="13" t="n">
        <v>6000</v>
      </c>
      <c r="I16" s="14" t="s">
        <v>31</v>
      </c>
      <c r="J16" s="14" t="s">
        <v>32</v>
      </c>
      <c r="K16" s="15" t="n">
        <v>7.33</v>
      </c>
      <c r="L16" s="16" t="n">
        <f aca="false">MAX(0,F16*IF(J16="Y",1-$H$6,1))</f>
        <v>5.1</v>
      </c>
      <c r="M16" s="17" t="n">
        <f aca="false">G16+IF(I16="Y",$H$5,0)*(H16-G16)</f>
        <v>6000</v>
      </c>
      <c r="N16" s="17" t="n">
        <f aca="false">L16*1000000*365/K16/1000000</f>
        <v>253.956343792633</v>
      </c>
      <c r="O16" s="16" t="n">
        <f aca="false">N16*1000000*M16/1000000000</f>
        <v>1523.7380627558</v>
      </c>
      <c r="P16" s="16" t="n">
        <f aca="false">F16*1000000*365/K16*G16/1000000000</f>
        <v>1523.7380627558</v>
      </c>
    </row>
    <row r="17" customFormat="false" ht="15" hidden="false" customHeight="false" outlineLevel="0" collapsed="false">
      <c r="A17" s="11" t="n">
        <v>2</v>
      </c>
      <c r="B17" s="11" t="s">
        <v>27</v>
      </c>
      <c r="C17" s="11" t="s">
        <v>28</v>
      </c>
      <c r="D17" s="11" t="s">
        <v>29</v>
      </c>
      <c r="E17" s="11" t="s">
        <v>33</v>
      </c>
      <c r="F17" s="12" t="n">
        <v>4.2</v>
      </c>
      <c r="G17" s="13" t="n">
        <v>6600</v>
      </c>
      <c r="H17" s="13" t="n">
        <v>6600</v>
      </c>
      <c r="I17" s="14" t="s">
        <v>31</v>
      </c>
      <c r="J17" s="14" t="s">
        <v>32</v>
      </c>
      <c r="K17" s="15" t="n">
        <v>7.33</v>
      </c>
      <c r="L17" s="16" t="n">
        <f aca="false">MAX(0,F17*IF(J17="Y",1-$H$6,1))</f>
        <v>4.2</v>
      </c>
      <c r="M17" s="17" t="n">
        <f aca="false">G17+IF(I17="Y",$H$5,0)*(H17-G17)</f>
        <v>6600</v>
      </c>
      <c r="N17" s="17" t="n">
        <f aca="false">L17*1000000*365/K17/1000000</f>
        <v>209.140518417462</v>
      </c>
      <c r="O17" s="16" t="n">
        <f aca="false">N17*1000000*M17/1000000000</f>
        <v>1380.32742155525</v>
      </c>
      <c r="P17" s="16" t="n">
        <f aca="false">F17*1000000*365/K17*G17/1000000000</f>
        <v>1380.32742155525</v>
      </c>
    </row>
    <row r="18" customFormat="false" ht="15" hidden="false" customHeight="false" outlineLevel="0" collapsed="false">
      <c r="A18" s="11" t="n">
        <v>3</v>
      </c>
      <c r="B18" s="11" t="s">
        <v>27</v>
      </c>
      <c r="C18" s="11" t="s">
        <v>28</v>
      </c>
      <c r="D18" s="11" t="s">
        <v>29</v>
      </c>
      <c r="E18" s="11" t="s">
        <v>34</v>
      </c>
      <c r="F18" s="12" t="n">
        <v>2</v>
      </c>
      <c r="G18" s="13" t="n">
        <v>1500</v>
      </c>
      <c r="H18" s="13" t="n">
        <v>1500</v>
      </c>
      <c r="I18" s="14" t="s">
        <v>31</v>
      </c>
      <c r="J18" s="14" t="s">
        <v>32</v>
      </c>
      <c r="K18" s="15" t="n">
        <v>7.33</v>
      </c>
      <c r="L18" s="16" t="n">
        <f aca="false">MAX(0,F18*IF(J18="Y",1-$H$6,1))</f>
        <v>2</v>
      </c>
      <c r="M18" s="17" t="n">
        <f aca="false">G18+IF(I18="Y",$H$5,0)*(H18-G18)</f>
        <v>1500</v>
      </c>
      <c r="N18" s="17" t="n">
        <f aca="false">L18*1000000*365/K18/1000000</f>
        <v>99.5907230559345</v>
      </c>
      <c r="O18" s="16" t="n">
        <f aca="false">N18*1000000*M18/1000000000</f>
        <v>149.386084583902</v>
      </c>
      <c r="P18" s="16" t="n">
        <f aca="false">F18*1000000*365/K18*G18/1000000000</f>
        <v>149.386084583902</v>
      </c>
    </row>
    <row r="19" customFormat="false" ht="15" hidden="false" customHeight="false" outlineLevel="0" collapsed="false">
      <c r="A19" s="11" t="n">
        <v>4</v>
      </c>
      <c r="B19" s="11" t="s">
        <v>35</v>
      </c>
      <c r="C19" s="11" t="s">
        <v>28</v>
      </c>
      <c r="D19" s="11" t="s">
        <v>29</v>
      </c>
      <c r="E19" s="11" t="s">
        <v>36</v>
      </c>
      <c r="F19" s="12" t="n">
        <v>0.6</v>
      </c>
      <c r="G19" s="13" t="n">
        <v>6400</v>
      </c>
      <c r="H19" s="13" t="n">
        <v>11100</v>
      </c>
      <c r="I19" s="14" t="s">
        <v>32</v>
      </c>
      <c r="J19" s="14" t="s">
        <v>32</v>
      </c>
      <c r="K19" s="15" t="n">
        <v>7.33</v>
      </c>
      <c r="L19" s="16" t="n">
        <f aca="false">MAX(0,F19*IF(J19="Y",1-$H$6,1))</f>
        <v>0.6</v>
      </c>
      <c r="M19" s="17" t="n">
        <f aca="false">G19+IF(I19="Y",$H$5,0)*(H19-G19)</f>
        <v>6400</v>
      </c>
      <c r="N19" s="17" t="n">
        <f aca="false">L19*1000000*365/K19/1000000</f>
        <v>29.8772169167804</v>
      </c>
      <c r="O19" s="16" t="n">
        <f aca="false">N19*1000000*M19/1000000000</f>
        <v>191.214188267394</v>
      </c>
      <c r="P19" s="16" t="n">
        <f aca="false">F19*1000000*365/K19*G19/1000000000</f>
        <v>191.214188267394</v>
      </c>
    </row>
    <row r="20" customFormat="false" ht="15" hidden="false" customHeight="false" outlineLevel="0" collapsed="false">
      <c r="A20" s="11" t="n">
        <v>5</v>
      </c>
      <c r="B20" s="11" t="s">
        <v>27</v>
      </c>
      <c r="C20" s="11" t="s">
        <v>28</v>
      </c>
      <c r="D20" s="11" t="s">
        <v>37</v>
      </c>
      <c r="E20" s="11" t="s">
        <v>30</v>
      </c>
      <c r="F20" s="12" t="n">
        <v>1.8</v>
      </c>
      <c r="G20" s="13" t="n">
        <v>10500</v>
      </c>
      <c r="H20" s="13" t="n">
        <v>10500</v>
      </c>
      <c r="I20" s="14" t="s">
        <v>31</v>
      </c>
      <c r="J20" s="14" t="s">
        <v>31</v>
      </c>
      <c r="K20" s="15" t="n">
        <v>7.33</v>
      </c>
      <c r="L20" s="16" t="n">
        <f aca="false">MAX(0,F20*IF(J20="Y",1-$H$6,1))</f>
        <v>1.8</v>
      </c>
      <c r="M20" s="17" t="n">
        <f aca="false">G20+IF(I20="Y",$H$5,0)*(H20-G20)</f>
        <v>10500</v>
      </c>
      <c r="N20" s="17" t="n">
        <f aca="false">L20*1000000*365/K20/1000000</f>
        <v>89.6316507503411</v>
      </c>
      <c r="O20" s="16" t="n">
        <f aca="false">N20*1000000*M20/1000000000</f>
        <v>941.132332878581</v>
      </c>
      <c r="P20" s="16" t="n">
        <f aca="false">F20*1000000*365/K20*G20/1000000000</f>
        <v>941.132332878581</v>
      </c>
    </row>
    <row r="21" customFormat="false" ht="15" hidden="false" customHeight="false" outlineLevel="0" collapsed="false">
      <c r="A21" s="11" t="n">
        <v>6</v>
      </c>
      <c r="B21" s="11" t="s">
        <v>35</v>
      </c>
      <c r="C21" s="11" t="s">
        <v>28</v>
      </c>
      <c r="D21" s="11" t="s">
        <v>37</v>
      </c>
      <c r="E21" s="11" t="s">
        <v>36</v>
      </c>
      <c r="F21" s="12" t="n">
        <v>1.3</v>
      </c>
      <c r="G21" s="13" t="n">
        <v>4500</v>
      </c>
      <c r="H21" s="13" t="n">
        <v>4500</v>
      </c>
      <c r="I21" s="14" t="s">
        <v>31</v>
      </c>
      <c r="J21" s="14" t="s">
        <v>31</v>
      </c>
      <c r="K21" s="15" t="n">
        <v>7.33</v>
      </c>
      <c r="L21" s="16" t="n">
        <f aca="false">MAX(0,F21*IF(J21="Y",1-$H$6,1))</f>
        <v>1.3</v>
      </c>
      <c r="M21" s="17" t="n">
        <f aca="false">G21+IF(I21="Y",$H$5,0)*(H21-G21)</f>
        <v>4500</v>
      </c>
      <c r="N21" s="17" t="n">
        <f aca="false">L21*1000000*365/K21/1000000</f>
        <v>64.7339699863574</v>
      </c>
      <c r="O21" s="16" t="n">
        <f aca="false">N21*1000000*M21/1000000000</f>
        <v>291.302864938609</v>
      </c>
      <c r="P21" s="16" t="n">
        <f aca="false">F21*1000000*365/K21*G21/1000000000</f>
        <v>291.302864938609</v>
      </c>
    </row>
    <row r="22" customFormat="false" ht="15" hidden="false" customHeight="false" outlineLevel="0" collapsed="false">
      <c r="A22" s="11" t="n">
        <v>7</v>
      </c>
      <c r="B22" s="11" t="s">
        <v>27</v>
      </c>
      <c r="C22" s="11" t="s">
        <v>28</v>
      </c>
      <c r="D22" s="11" t="s">
        <v>38</v>
      </c>
      <c r="E22" s="11" t="s">
        <v>30</v>
      </c>
      <c r="F22" s="12" t="n">
        <v>1</v>
      </c>
      <c r="G22" s="13" t="n">
        <v>13500</v>
      </c>
      <c r="H22" s="13" t="n">
        <v>13500</v>
      </c>
      <c r="I22" s="14" t="s">
        <v>31</v>
      </c>
      <c r="J22" s="14" t="s">
        <v>31</v>
      </c>
      <c r="K22" s="15" t="n">
        <v>7.33</v>
      </c>
      <c r="L22" s="16" t="n">
        <f aca="false">MAX(0,F22*IF(J22="Y",1-$H$6,1))</f>
        <v>1</v>
      </c>
      <c r="M22" s="17" t="n">
        <f aca="false">G22+IF(I22="Y",$H$5,0)*(H22-G22)</f>
        <v>13500</v>
      </c>
      <c r="N22" s="17" t="n">
        <f aca="false">L22*1000000*365/K22/1000000</f>
        <v>49.7953615279673</v>
      </c>
      <c r="O22" s="16" t="n">
        <f aca="false">N22*1000000*M22/1000000000</f>
        <v>672.237380627558</v>
      </c>
      <c r="P22" s="16" t="n">
        <f aca="false">F22*1000000*365/K22*G22/1000000000</f>
        <v>672.237380627558</v>
      </c>
    </row>
    <row r="23" customFormat="false" ht="15" hidden="false" customHeight="false" outlineLevel="0" collapsed="false">
      <c r="A23" s="11" t="n">
        <v>8</v>
      </c>
      <c r="B23" s="11" t="s">
        <v>35</v>
      </c>
      <c r="C23" s="11" t="s">
        <v>28</v>
      </c>
      <c r="D23" s="11" t="s">
        <v>38</v>
      </c>
      <c r="E23" s="11" t="s">
        <v>36</v>
      </c>
      <c r="F23" s="12" t="n">
        <v>1.2</v>
      </c>
      <c r="G23" s="13" t="n">
        <v>5000</v>
      </c>
      <c r="H23" s="13" t="n">
        <v>5000</v>
      </c>
      <c r="I23" s="14" t="s">
        <v>31</v>
      </c>
      <c r="J23" s="14" t="s">
        <v>31</v>
      </c>
      <c r="K23" s="15" t="n">
        <v>7.33</v>
      </c>
      <c r="L23" s="16" t="n">
        <f aca="false">MAX(0,F23*IF(J23="Y",1-$H$6,1))</f>
        <v>1.2</v>
      </c>
      <c r="M23" s="17" t="n">
        <f aca="false">G23+IF(I23="Y",$H$5,0)*(H23-G23)</f>
        <v>5000</v>
      </c>
      <c r="N23" s="17" t="n">
        <f aca="false">L23*1000000*365/K23/1000000</f>
        <v>59.7544338335607</v>
      </c>
      <c r="O23" s="16" t="n">
        <f aca="false">N23*1000000*M23/1000000000</f>
        <v>298.772169167804</v>
      </c>
      <c r="P23" s="16" t="n">
        <f aca="false">F23*1000000*365/K23*G23/1000000000</f>
        <v>298.772169167804</v>
      </c>
    </row>
    <row r="24" customFormat="false" ht="15" hidden="false" customHeight="false" outlineLevel="0" collapsed="false">
      <c r="A24" s="11" t="n">
        <v>9</v>
      </c>
      <c r="B24" s="11" t="s">
        <v>27</v>
      </c>
      <c r="C24" s="11" t="s">
        <v>28</v>
      </c>
      <c r="D24" s="11" t="s">
        <v>39</v>
      </c>
      <c r="E24" s="11" t="s">
        <v>30</v>
      </c>
      <c r="F24" s="12" t="n">
        <v>1.4</v>
      </c>
      <c r="G24" s="13" t="n">
        <v>11000</v>
      </c>
      <c r="H24" s="13" t="n">
        <v>11000</v>
      </c>
      <c r="I24" s="14" t="s">
        <v>31</v>
      </c>
      <c r="J24" s="14" t="s">
        <v>31</v>
      </c>
      <c r="K24" s="15" t="n">
        <v>7.33</v>
      </c>
      <c r="L24" s="16" t="n">
        <f aca="false">MAX(0,F24*IF(J24="Y",1-$H$6,1))</f>
        <v>1.4</v>
      </c>
      <c r="M24" s="17" t="n">
        <f aca="false">G24+IF(I24="Y",$H$5,0)*(H24-G24)</f>
        <v>11000</v>
      </c>
      <c r="N24" s="17" t="n">
        <f aca="false">L24*1000000*365/K24/1000000</f>
        <v>69.7135061391542</v>
      </c>
      <c r="O24" s="16" t="n">
        <f aca="false">N24*1000000*M24/1000000000</f>
        <v>766.848567530696</v>
      </c>
      <c r="P24" s="16" t="n">
        <f aca="false">F24*1000000*365/K24*G24/1000000000</f>
        <v>766.848567530696</v>
      </c>
    </row>
    <row r="25" customFormat="false" ht="15" hidden="false" customHeight="false" outlineLevel="0" collapsed="false">
      <c r="A25" s="11" t="n">
        <v>10</v>
      </c>
      <c r="B25" s="11" t="s">
        <v>35</v>
      </c>
      <c r="C25" s="11" t="s">
        <v>28</v>
      </c>
      <c r="D25" s="11" t="s">
        <v>40</v>
      </c>
      <c r="E25" s="11" t="s">
        <v>38</v>
      </c>
      <c r="F25" s="12" t="n">
        <v>0.6</v>
      </c>
      <c r="G25" s="13" t="n">
        <v>3000</v>
      </c>
      <c r="H25" s="13" t="n">
        <v>3000</v>
      </c>
      <c r="I25" s="14" t="s">
        <v>31</v>
      </c>
      <c r="J25" s="14" t="s">
        <v>31</v>
      </c>
      <c r="K25" s="15" t="n">
        <v>7.33</v>
      </c>
      <c r="L25" s="16" t="n">
        <f aca="false">MAX(0,F25*IF(J25="Y",1-$H$6,1))</f>
        <v>0.6</v>
      </c>
      <c r="M25" s="17" t="n">
        <f aca="false">G25+IF(I25="Y",$H$5,0)*(H25-G25)</f>
        <v>3000</v>
      </c>
      <c r="N25" s="17" t="n">
        <f aca="false">L25*1000000*365/K25/1000000</f>
        <v>29.8772169167804</v>
      </c>
      <c r="O25" s="16" t="n">
        <f aca="false">N25*1000000*M25/1000000000</f>
        <v>89.6316507503411</v>
      </c>
      <c r="P25" s="16" t="n">
        <f aca="false">F25*1000000*365/K25*G25/1000000000</f>
        <v>89.6316507503411</v>
      </c>
    </row>
    <row r="26" customFormat="false" ht="15" hidden="false" customHeight="false" outlineLevel="0" collapsed="false">
      <c r="A26" s="11" t="n">
        <v>11</v>
      </c>
      <c r="B26" s="11" t="s">
        <v>41</v>
      </c>
      <c r="C26" s="11" t="s">
        <v>28</v>
      </c>
      <c r="D26" s="11" t="s">
        <v>42</v>
      </c>
      <c r="E26" s="11" t="s">
        <v>43</v>
      </c>
      <c r="F26" s="12" t="n">
        <v>0.8</v>
      </c>
      <c r="G26" s="13" t="n">
        <v>600</v>
      </c>
      <c r="H26" s="13" t="n">
        <v>600</v>
      </c>
      <c r="I26" s="14" t="s">
        <v>31</v>
      </c>
      <c r="J26" s="14" t="s">
        <v>31</v>
      </c>
      <c r="K26" s="15" t="n">
        <v>7.33</v>
      </c>
      <c r="L26" s="16" t="n">
        <f aca="false">MAX(0,F26*IF(J26="Y",1-$H$6,1))</f>
        <v>0.8</v>
      </c>
      <c r="M26" s="17" t="n">
        <f aca="false">G26+IF(I26="Y",$H$5,0)*(H26-G26)</f>
        <v>600</v>
      </c>
      <c r="N26" s="17" t="n">
        <f aca="false">L26*1000000*365/K26/1000000</f>
        <v>39.8362892223738</v>
      </c>
      <c r="O26" s="16" t="n">
        <f aca="false">N26*1000000*M26/1000000000</f>
        <v>23.9017735334243</v>
      </c>
      <c r="P26" s="16" t="n">
        <f aca="false">F26*1000000*365/K26*G26/1000000000</f>
        <v>23.9017735334243</v>
      </c>
    </row>
    <row r="27" customFormat="false" ht="15" hidden="false" customHeight="false" outlineLevel="0" collapsed="false">
      <c r="A27" s="11" t="n">
        <v>12</v>
      </c>
      <c r="B27" s="11" t="s">
        <v>35</v>
      </c>
      <c r="C27" s="11" t="s">
        <v>28</v>
      </c>
      <c r="D27" s="11" t="s">
        <v>44</v>
      </c>
      <c r="E27" s="11" t="s">
        <v>34</v>
      </c>
      <c r="F27" s="12" t="n">
        <v>1.6</v>
      </c>
      <c r="G27" s="13" t="n">
        <v>8000</v>
      </c>
      <c r="H27" s="13" t="n">
        <v>8000</v>
      </c>
      <c r="I27" s="14" t="s">
        <v>31</v>
      </c>
      <c r="J27" s="14" t="s">
        <v>31</v>
      </c>
      <c r="K27" s="15" t="n">
        <v>7.33</v>
      </c>
      <c r="L27" s="16" t="n">
        <f aca="false">MAX(0,F27*IF(J27="Y",1-$H$6,1))</f>
        <v>1.6</v>
      </c>
      <c r="M27" s="17" t="n">
        <f aca="false">G27+IF(I27="Y",$H$5,0)*(H27-G27)</f>
        <v>8000</v>
      </c>
      <c r="N27" s="17" t="n">
        <f aca="false">L27*1000000*365/K27/1000000</f>
        <v>79.6725784447476</v>
      </c>
      <c r="O27" s="16" t="n">
        <f aca="false">N27*1000000*M27/1000000000</f>
        <v>637.380627557981</v>
      </c>
      <c r="P27" s="16" t="n">
        <f aca="false">F27*1000000*365/K27*G27/1000000000</f>
        <v>637.380627557981</v>
      </c>
    </row>
    <row r="28" customFormat="false" ht="15" hidden="false" customHeight="false" outlineLevel="0" collapsed="false">
      <c r="A28" s="11" t="n">
        <v>13</v>
      </c>
      <c r="B28" s="11" t="s">
        <v>41</v>
      </c>
      <c r="C28" s="11" t="s">
        <v>28</v>
      </c>
      <c r="D28" s="11" t="s">
        <v>45</v>
      </c>
      <c r="E28" s="11" t="s">
        <v>30</v>
      </c>
      <c r="F28" s="12" t="n">
        <v>0.8</v>
      </c>
      <c r="G28" s="13" t="n">
        <v>1000</v>
      </c>
      <c r="H28" s="13" t="n">
        <v>1000</v>
      </c>
      <c r="I28" s="14" t="s">
        <v>31</v>
      </c>
      <c r="J28" s="14" t="s">
        <v>31</v>
      </c>
      <c r="K28" s="15" t="n">
        <v>7.33</v>
      </c>
      <c r="L28" s="16" t="n">
        <f aca="false">MAX(0,F28*IF(J28="Y",1-$H$6,1))</f>
        <v>0.8</v>
      </c>
      <c r="M28" s="17" t="n">
        <f aca="false">G28+IF(I28="Y",$H$5,0)*(H28-G28)</f>
        <v>1000</v>
      </c>
      <c r="N28" s="17" t="n">
        <f aca="false">L28*1000000*365/K28/1000000</f>
        <v>39.8362892223738</v>
      </c>
      <c r="O28" s="16" t="n">
        <f aca="false">N28*1000000*M28/1000000000</f>
        <v>39.8362892223738</v>
      </c>
      <c r="P28" s="16" t="n">
        <f aca="false">F28*1000000*365/K28*G28/1000000000</f>
        <v>39.8362892223738</v>
      </c>
    </row>
    <row r="29" customFormat="false" ht="15" hidden="false" customHeight="false" outlineLevel="0" collapsed="false">
      <c r="A29" s="11" t="n">
        <v>14</v>
      </c>
      <c r="B29" s="11" t="s">
        <v>35</v>
      </c>
      <c r="C29" s="11" t="s">
        <v>28</v>
      </c>
      <c r="D29" s="11" t="s">
        <v>46</v>
      </c>
      <c r="E29" s="11" t="s">
        <v>34</v>
      </c>
      <c r="F29" s="12" t="n">
        <v>0.5</v>
      </c>
      <c r="G29" s="13" t="n">
        <v>6000</v>
      </c>
      <c r="H29" s="13" t="n">
        <v>6000</v>
      </c>
      <c r="I29" s="14" t="s">
        <v>31</v>
      </c>
      <c r="J29" s="14" t="s">
        <v>31</v>
      </c>
      <c r="K29" s="15" t="n">
        <v>7.33</v>
      </c>
      <c r="L29" s="16" t="n">
        <f aca="false">MAX(0,F29*IF(J29="Y",1-$H$6,1))</f>
        <v>0.5</v>
      </c>
      <c r="M29" s="17" t="n">
        <f aca="false">G29+IF(I29="Y",$H$5,0)*(H29-G29)</f>
        <v>6000</v>
      </c>
      <c r="N29" s="17" t="n">
        <f aca="false">L29*1000000*365/K29/1000000</f>
        <v>24.8976807639836</v>
      </c>
      <c r="O29" s="16" t="n">
        <f aca="false">N29*1000000*M29/1000000000</f>
        <v>149.386084583902</v>
      </c>
      <c r="P29" s="16" t="n">
        <f aca="false">F29*1000000*365/K29*G29/1000000000</f>
        <v>149.386084583902</v>
      </c>
    </row>
    <row r="30" customFormat="false" ht="15" hidden="false" customHeight="false" outlineLevel="0" collapsed="false">
      <c r="A30" s="11" t="n">
        <v>15</v>
      </c>
      <c r="B30" s="11" t="s">
        <v>41</v>
      </c>
      <c r="C30" s="11" t="s">
        <v>28</v>
      </c>
      <c r="D30" s="11" t="s">
        <v>47</v>
      </c>
      <c r="E30" s="11" t="s">
        <v>38</v>
      </c>
      <c r="F30" s="12" t="n">
        <v>0.5</v>
      </c>
      <c r="G30" s="13" t="n">
        <v>1500</v>
      </c>
      <c r="H30" s="13" t="n">
        <v>1500</v>
      </c>
      <c r="I30" s="14" t="s">
        <v>31</v>
      </c>
      <c r="J30" s="14" t="s">
        <v>31</v>
      </c>
      <c r="K30" s="15" t="n">
        <v>7.33</v>
      </c>
      <c r="L30" s="16" t="n">
        <f aca="false">MAX(0,F30*IF(J30="Y",1-$H$6,1))</f>
        <v>0.5</v>
      </c>
      <c r="M30" s="17" t="n">
        <f aca="false">G30+IF(I30="Y",$H$5,0)*(H30-G30)</f>
        <v>1500</v>
      </c>
      <c r="N30" s="17" t="n">
        <f aca="false">L30*1000000*365/K30/1000000</f>
        <v>24.8976807639836</v>
      </c>
      <c r="O30" s="16" t="n">
        <f aca="false">N30*1000000*M30/1000000000</f>
        <v>37.3465211459754</v>
      </c>
      <c r="P30" s="16" t="n">
        <f aca="false">F30*1000000*365/K30*G30/1000000000</f>
        <v>37.3465211459754</v>
      </c>
    </row>
    <row r="31" customFormat="false" ht="15" hidden="false" customHeight="false" outlineLevel="0" collapsed="false">
      <c r="A31" s="11" t="n">
        <v>16</v>
      </c>
      <c r="B31" s="11" t="s">
        <v>41</v>
      </c>
      <c r="C31" s="11" t="s">
        <v>28</v>
      </c>
      <c r="D31" s="11" t="s">
        <v>48</v>
      </c>
      <c r="E31" s="11" t="s">
        <v>48</v>
      </c>
      <c r="F31" s="12" t="n">
        <v>0.7</v>
      </c>
      <c r="G31" s="13" t="n">
        <v>800</v>
      </c>
      <c r="H31" s="13" t="n">
        <v>800</v>
      </c>
      <c r="I31" s="14" t="s">
        <v>31</v>
      </c>
      <c r="J31" s="14" t="s">
        <v>31</v>
      </c>
      <c r="K31" s="15" t="n">
        <v>7.33</v>
      </c>
      <c r="L31" s="16" t="n">
        <f aca="false">MAX(0,F31*IF(J31="Y",1-$H$6,1))</f>
        <v>0.7</v>
      </c>
      <c r="M31" s="17" t="n">
        <f aca="false">G31+IF(I31="Y",$H$5,0)*(H31-G31)</f>
        <v>800</v>
      </c>
      <c r="N31" s="17" t="n">
        <f aca="false">L31*1000000*365/K31/1000000</f>
        <v>34.8567530695771</v>
      </c>
      <c r="O31" s="16" t="n">
        <f aca="false">N31*1000000*M31/1000000000</f>
        <v>27.8854024556617</v>
      </c>
      <c r="P31" s="16" t="n">
        <f aca="false">F31*1000000*365/K31*G31/1000000000</f>
        <v>27.8854024556617</v>
      </c>
    </row>
    <row r="32" customFormat="false" ht="15" hidden="false" customHeight="false" outlineLevel="0" collapsed="false">
      <c r="A32" s="11" t="n">
        <v>17</v>
      </c>
      <c r="B32" s="11" t="s">
        <v>49</v>
      </c>
      <c r="C32" s="11" t="s">
        <v>50</v>
      </c>
      <c r="D32" s="11" t="s">
        <v>29</v>
      </c>
      <c r="E32" s="11" t="s">
        <v>36</v>
      </c>
      <c r="F32" s="12" t="n">
        <v>0.9</v>
      </c>
      <c r="G32" s="13" t="n">
        <v>6400</v>
      </c>
      <c r="H32" s="13" t="n">
        <v>11100</v>
      </c>
      <c r="I32" s="14" t="s">
        <v>32</v>
      </c>
      <c r="J32" s="14" t="s">
        <v>32</v>
      </c>
      <c r="K32" s="15" t="n">
        <v>8</v>
      </c>
      <c r="L32" s="16" t="n">
        <f aca="false">MAX(0,F32*IF(J32="Y",1-$H$6,1))</f>
        <v>0.9</v>
      </c>
      <c r="M32" s="17" t="n">
        <f aca="false">G32+IF(I32="Y",$H$5,0)*(H32-G32)</f>
        <v>6400</v>
      </c>
      <c r="N32" s="17" t="n">
        <f aca="false">L32*1000000*365/K32/1000000</f>
        <v>41.0625</v>
      </c>
      <c r="O32" s="16" t="n">
        <f aca="false">N32*1000000*M32/1000000000</f>
        <v>262.8</v>
      </c>
      <c r="P32" s="16" t="n">
        <f aca="false">F32*1000000*365/K32*G32/1000000000</f>
        <v>262.8</v>
      </c>
    </row>
    <row r="33" customFormat="false" ht="15" hidden="false" customHeight="false" outlineLevel="0" collapsed="false">
      <c r="A33" s="11" t="n">
        <v>18</v>
      </c>
      <c r="B33" s="11" t="s">
        <v>49</v>
      </c>
      <c r="C33" s="11" t="s">
        <v>50</v>
      </c>
      <c r="D33" s="11" t="s">
        <v>29</v>
      </c>
      <c r="E33" s="11" t="s">
        <v>51</v>
      </c>
      <c r="F33" s="12" t="n">
        <v>1.1</v>
      </c>
      <c r="G33" s="13" t="n">
        <v>3500</v>
      </c>
      <c r="H33" s="13" t="n">
        <v>3500</v>
      </c>
      <c r="I33" s="14" t="s">
        <v>31</v>
      </c>
      <c r="J33" s="14" t="s">
        <v>32</v>
      </c>
      <c r="K33" s="15" t="n">
        <v>8</v>
      </c>
      <c r="L33" s="16" t="n">
        <f aca="false">MAX(0,F33*IF(J33="Y",1-$H$6,1))</f>
        <v>1.1</v>
      </c>
      <c r="M33" s="17" t="n">
        <f aca="false">G33+IF(I33="Y",$H$5,0)*(H33-G33)</f>
        <v>3500</v>
      </c>
      <c r="N33" s="17" t="n">
        <f aca="false">L33*1000000*365/K33/1000000</f>
        <v>50.1875</v>
      </c>
      <c r="O33" s="16" t="n">
        <f aca="false">N33*1000000*M33/1000000000</f>
        <v>175.65625</v>
      </c>
      <c r="P33" s="16" t="n">
        <f aca="false">F33*1000000*365/K33*G33/1000000000</f>
        <v>175.65625</v>
      </c>
    </row>
    <row r="34" customFormat="false" ht="15" hidden="false" customHeight="false" outlineLevel="0" collapsed="false">
      <c r="A34" s="11" t="n">
        <v>19</v>
      </c>
      <c r="B34" s="11" t="s">
        <v>52</v>
      </c>
      <c r="C34" s="11" t="s">
        <v>50</v>
      </c>
      <c r="D34" s="11" t="s">
        <v>29</v>
      </c>
      <c r="E34" s="11" t="s">
        <v>53</v>
      </c>
      <c r="F34" s="12" t="n">
        <v>0.4</v>
      </c>
      <c r="G34" s="13" t="n">
        <v>2500</v>
      </c>
      <c r="H34" s="13" t="n">
        <v>2500</v>
      </c>
      <c r="I34" s="14" t="s">
        <v>31</v>
      </c>
      <c r="J34" s="14" t="s">
        <v>32</v>
      </c>
      <c r="K34" s="15" t="n">
        <v>8</v>
      </c>
      <c r="L34" s="16" t="n">
        <f aca="false">MAX(0,F34*IF(J34="Y",1-$H$6,1))</f>
        <v>0.4</v>
      </c>
      <c r="M34" s="17" t="n">
        <f aca="false">G34+IF(I34="Y",$H$5,0)*(H34-G34)</f>
        <v>2500</v>
      </c>
      <c r="N34" s="17" t="n">
        <f aca="false">L34*1000000*365/K34/1000000</f>
        <v>18.25</v>
      </c>
      <c r="O34" s="16" t="n">
        <f aca="false">N34*1000000*M34/1000000000</f>
        <v>45.625</v>
      </c>
      <c r="P34" s="16" t="n">
        <f aca="false">F34*1000000*365/K34*G34/1000000000</f>
        <v>45.625</v>
      </c>
    </row>
    <row r="35" customFormat="false" ht="15" hidden="false" customHeight="false" outlineLevel="0" collapsed="false">
      <c r="A35" s="11" t="n">
        <v>20</v>
      </c>
      <c r="B35" s="11" t="s">
        <v>54</v>
      </c>
      <c r="C35" s="11" t="s">
        <v>50</v>
      </c>
      <c r="D35" s="11" t="s">
        <v>38</v>
      </c>
      <c r="E35" s="11" t="s">
        <v>36</v>
      </c>
      <c r="F35" s="12" t="n">
        <v>0.5</v>
      </c>
      <c r="G35" s="13" t="n">
        <v>5000</v>
      </c>
      <c r="H35" s="13" t="n">
        <v>5000</v>
      </c>
      <c r="I35" s="14" t="s">
        <v>31</v>
      </c>
      <c r="J35" s="14" t="s">
        <v>31</v>
      </c>
      <c r="K35" s="15" t="n">
        <v>8</v>
      </c>
      <c r="L35" s="16" t="n">
        <f aca="false">MAX(0,F35*IF(J35="Y",1-$H$6,1))</f>
        <v>0.5</v>
      </c>
      <c r="M35" s="17" t="n">
        <f aca="false">G35+IF(I35="Y",$H$5,0)*(H35-G35)</f>
        <v>5000</v>
      </c>
      <c r="N35" s="17" t="n">
        <f aca="false">L35*1000000*365/K35/1000000</f>
        <v>22.8125</v>
      </c>
      <c r="O35" s="16" t="n">
        <f aca="false">N35*1000000*M35/1000000000</f>
        <v>114.0625</v>
      </c>
      <c r="P35" s="16" t="n">
        <f aca="false">F35*1000000*365/K35*G35/1000000000</f>
        <v>114.0625</v>
      </c>
    </row>
    <row r="36" customFormat="false" ht="15" hidden="false" customHeight="false" outlineLevel="0" collapsed="false">
      <c r="A36" s="11" t="n">
        <v>21</v>
      </c>
      <c r="B36" s="11" t="s">
        <v>54</v>
      </c>
      <c r="C36" s="11" t="s">
        <v>50</v>
      </c>
      <c r="D36" s="11" t="s">
        <v>38</v>
      </c>
      <c r="E36" s="11" t="s">
        <v>40</v>
      </c>
      <c r="F36" s="12" t="n">
        <v>1</v>
      </c>
      <c r="G36" s="13" t="n">
        <v>2500</v>
      </c>
      <c r="H36" s="13" t="n">
        <v>2500</v>
      </c>
      <c r="I36" s="14" t="s">
        <v>31</v>
      </c>
      <c r="J36" s="14" t="s">
        <v>31</v>
      </c>
      <c r="K36" s="15" t="n">
        <v>8</v>
      </c>
      <c r="L36" s="16" t="n">
        <f aca="false">MAX(0,F36*IF(J36="Y",1-$H$6,1))</f>
        <v>1</v>
      </c>
      <c r="M36" s="17" t="n">
        <f aca="false">G36+IF(I36="Y",$H$5,0)*(H36-G36)</f>
        <v>2500</v>
      </c>
      <c r="N36" s="17" t="n">
        <f aca="false">L36*1000000*365/K36/1000000</f>
        <v>45.625</v>
      </c>
      <c r="O36" s="16" t="n">
        <f aca="false">N36*1000000*M36/1000000000</f>
        <v>114.0625</v>
      </c>
      <c r="P36" s="16" t="n">
        <f aca="false">F36*1000000*365/K36*G36/1000000000</f>
        <v>114.0625</v>
      </c>
    </row>
    <row r="37" customFormat="false" ht="15" hidden="false" customHeight="false" outlineLevel="0" collapsed="false">
      <c r="A37" s="11" t="n">
        <v>22</v>
      </c>
      <c r="B37" s="11" t="s">
        <v>49</v>
      </c>
      <c r="C37" s="11" t="s">
        <v>50</v>
      </c>
      <c r="D37" s="11" t="s">
        <v>34</v>
      </c>
      <c r="E37" s="11" t="s">
        <v>36</v>
      </c>
      <c r="F37" s="12" t="n">
        <v>0.7</v>
      </c>
      <c r="G37" s="13" t="n">
        <v>6400</v>
      </c>
      <c r="H37" s="13" t="n">
        <v>10600</v>
      </c>
      <c r="I37" s="14" t="s">
        <v>32</v>
      </c>
      <c r="J37" s="14" t="s">
        <v>31</v>
      </c>
      <c r="K37" s="15" t="n">
        <v>8</v>
      </c>
      <c r="L37" s="16" t="n">
        <f aca="false">MAX(0,F37*IF(J37="Y",1-$H$6,1))</f>
        <v>0.7</v>
      </c>
      <c r="M37" s="17" t="n">
        <f aca="false">G37+IF(I37="Y",$H$5,0)*(H37-G37)</f>
        <v>6400</v>
      </c>
      <c r="N37" s="17" t="n">
        <f aca="false">L37*1000000*365/K37/1000000</f>
        <v>31.9375</v>
      </c>
      <c r="O37" s="16" t="n">
        <f aca="false">N37*1000000*M37/1000000000</f>
        <v>204.4</v>
      </c>
      <c r="P37" s="16" t="n">
        <f aca="false">F37*1000000*365/K37*G37/1000000000</f>
        <v>204.4</v>
      </c>
    </row>
    <row r="38" customFormat="false" ht="15" hidden="false" customHeight="false" outlineLevel="0" collapsed="false">
      <c r="A38" s="11" t="n">
        <v>23</v>
      </c>
      <c r="B38" s="11" t="s">
        <v>54</v>
      </c>
      <c r="C38" s="11" t="s">
        <v>50</v>
      </c>
      <c r="D38" s="11" t="s">
        <v>55</v>
      </c>
      <c r="E38" s="11" t="s">
        <v>37</v>
      </c>
      <c r="F38" s="12" t="n">
        <v>0.6</v>
      </c>
      <c r="G38" s="13" t="n">
        <v>3500</v>
      </c>
      <c r="H38" s="13" t="n">
        <v>3500</v>
      </c>
      <c r="I38" s="14" t="s">
        <v>31</v>
      </c>
      <c r="J38" s="14" t="s">
        <v>31</v>
      </c>
      <c r="K38" s="15" t="n">
        <v>8</v>
      </c>
      <c r="L38" s="16" t="n">
        <f aca="false">MAX(0,F38*IF(J38="Y",1-$H$6,1))</f>
        <v>0.6</v>
      </c>
      <c r="M38" s="17" t="n">
        <f aca="false">G38+IF(I38="Y",$H$5,0)*(H38-G38)</f>
        <v>3500</v>
      </c>
      <c r="N38" s="17" t="n">
        <f aca="false">L38*1000000*365/K38/1000000</f>
        <v>27.375</v>
      </c>
      <c r="O38" s="16" t="n">
        <f aca="false">N38*1000000*M38/1000000000</f>
        <v>95.8125</v>
      </c>
      <c r="P38" s="16" t="n">
        <f aca="false">F38*1000000*365/K38*G38/1000000000</f>
        <v>95.8125</v>
      </c>
    </row>
    <row r="39" customFormat="false" ht="15" hidden="false" customHeight="false" outlineLevel="0" collapsed="false">
      <c r="A39" s="11" t="n">
        <v>24</v>
      </c>
      <c r="B39" s="11" t="s">
        <v>54</v>
      </c>
      <c r="C39" s="11" t="s">
        <v>50</v>
      </c>
      <c r="D39" s="11" t="s">
        <v>56</v>
      </c>
      <c r="E39" s="11" t="s">
        <v>57</v>
      </c>
      <c r="F39" s="12" t="n">
        <v>1.5</v>
      </c>
      <c r="G39" s="13" t="n">
        <v>2000</v>
      </c>
      <c r="H39" s="13" t="n">
        <v>2000</v>
      </c>
      <c r="I39" s="14" t="s">
        <v>31</v>
      </c>
      <c r="J39" s="14" t="s">
        <v>31</v>
      </c>
      <c r="K39" s="15" t="n">
        <v>8</v>
      </c>
      <c r="L39" s="16" t="n">
        <f aca="false">MAX(0,F39*IF(J39="Y",1-$H$6,1))</f>
        <v>1.5</v>
      </c>
      <c r="M39" s="17" t="n">
        <f aca="false">G39+IF(I39="Y",$H$5,0)*(H39-G39)</f>
        <v>2000</v>
      </c>
      <c r="N39" s="17" t="n">
        <f aca="false">L39*1000000*365/K39/1000000</f>
        <v>68.4375</v>
      </c>
      <c r="O39" s="16" t="n">
        <f aca="false">N39*1000000*M39/1000000000</f>
        <v>136.875</v>
      </c>
      <c r="P39" s="16" t="n">
        <f aca="false">F39*1000000*365/K39*G39/1000000000</f>
        <v>136.875</v>
      </c>
    </row>
    <row r="40" customFormat="false" ht="15" hidden="false" customHeight="false" outlineLevel="0" collapsed="false">
      <c r="A40" s="11" t="n">
        <v>25</v>
      </c>
      <c r="B40" s="11" t="s">
        <v>54</v>
      </c>
      <c r="C40" s="11" t="s">
        <v>50</v>
      </c>
      <c r="D40" s="11" t="s">
        <v>44</v>
      </c>
      <c r="E40" s="11" t="s">
        <v>58</v>
      </c>
      <c r="F40" s="12" t="n">
        <v>0.9</v>
      </c>
      <c r="G40" s="13" t="n">
        <v>4000</v>
      </c>
      <c r="H40" s="13" t="n">
        <v>4000</v>
      </c>
      <c r="I40" s="14" t="s">
        <v>31</v>
      </c>
      <c r="J40" s="14" t="s">
        <v>31</v>
      </c>
      <c r="K40" s="15" t="n">
        <v>8</v>
      </c>
      <c r="L40" s="16" t="n">
        <f aca="false">MAX(0,F40*IF(J40="Y",1-$H$6,1))</f>
        <v>0.9</v>
      </c>
      <c r="M40" s="17" t="n">
        <f aca="false">G40+IF(I40="Y",$H$5,0)*(H40-G40)</f>
        <v>4000</v>
      </c>
      <c r="N40" s="17" t="n">
        <f aca="false">L40*1000000*365/K40/1000000</f>
        <v>41.0625</v>
      </c>
      <c r="O40" s="16" t="n">
        <f aca="false">N40*1000000*M40/1000000000</f>
        <v>164.25</v>
      </c>
      <c r="P40" s="16" t="n">
        <f aca="false">F40*1000000*365/K40*G40/1000000000</f>
        <v>164.25</v>
      </c>
    </row>
    <row r="42" customFormat="false" ht="15" hidden="false" customHeight="false" outlineLevel="0" collapsed="false">
      <c r="A42" s="3" t="s">
        <v>59</v>
      </c>
      <c r="F42" s="3" t="s">
        <v>60</v>
      </c>
      <c r="G42" s="3" t="s">
        <v>61</v>
      </c>
    </row>
    <row r="43" customFormat="false" ht="15" hidden="false" customHeight="false" outlineLevel="0" collapsed="false">
      <c r="A43" s="3" t="s">
        <v>62</v>
      </c>
      <c r="F43" s="18" t="n">
        <f aca="false">SUM(O16:O40)</f>
        <v>8533.87117155525</v>
      </c>
    </row>
    <row r="44" customFormat="false" ht="15" hidden="false" customHeight="false" outlineLevel="0" collapsed="false">
      <c r="A44" s="6" t="s">
        <v>27</v>
      </c>
      <c r="F44" s="19" t="n">
        <f aca="false">SUMIF(B16:B40,A44,O16:O40)</f>
        <v>5433.66984993179</v>
      </c>
      <c r="G44" s="20" t="n">
        <f aca="false">F44/$F$43</f>
        <v>0.636718054526423</v>
      </c>
    </row>
    <row r="45" customFormat="false" ht="15" hidden="false" customHeight="false" outlineLevel="0" collapsed="false">
      <c r="A45" s="6" t="s">
        <v>35</v>
      </c>
      <c r="F45" s="19" t="n">
        <f aca="false">SUMIF(B16:B40,A45,O16:O40)</f>
        <v>1657.68758526603</v>
      </c>
      <c r="G45" s="20" t="n">
        <f aca="false">F45/$F$43</f>
        <v>0.194248020850299</v>
      </c>
    </row>
    <row r="46" customFormat="false" ht="15" hidden="false" customHeight="false" outlineLevel="0" collapsed="false">
      <c r="A46" s="6" t="s">
        <v>41</v>
      </c>
      <c r="F46" s="19" t="n">
        <f aca="false">SUMIF(B16:B40,A46,O16:O40)</f>
        <v>128.969986357435</v>
      </c>
      <c r="G46" s="20" t="n">
        <f aca="false">F46/$F$43</f>
        <v>0.0151127177531473</v>
      </c>
    </row>
    <row r="47" customFormat="false" ht="15" hidden="false" customHeight="false" outlineLevel="0" collapsed="false">
      <c r="A47" s="6" t="s">
        <v>49</v>
      </c>
      <c r="F47" s="19" t="n">
        <f aca="false">SUMIF(B16:B40,A47,O16:O40)</f>
        <v>642.85625</v>
      </c>
      <c r="G47" s="20" t="n">
        <f aca="false">F47/$F$43</f>
        <v>0.075329968905875</v>
      </c>
    </row>
    <row r="48" customFormat="false" ht="15" hidden="false" customHeight="false" outlineLevel="0" collapsed="false">
      <c r="A48" s="6" t="s">
        <v>52</v>
      </c>
      <c r="F48" s="19" t="n">
        <f aca="false">SUMIF(B16:B40,A48,O16:O40)</f>
        <v>45.625</v>
      </c>
      <c r="G48" s="20" t="n">
        <f aca="false">F48/$F$43</f>
        <v>0.00534634271865685</v>
      </c>
    </row>
    <row r="49" customFormat="false" ht="15" hidden="false" customHeight="false" outlineLevel="0" collapsed="false">
      <c r="A49" s="6" t="s">
        <v>54</v>
      </c>
      <c r="F49" s="19" t="n">
        <f aca="false">SUMIF(B16:B40,A49,O16:O40)</f>
        <v>625.0625</v>
      </c>
      <c r="G49" s="20" t="n">
        <f aca="false">F49/$F$43</f>
        <v>0.0732448952455988</v>
      </c>
    </row>
    <row r="50" customFormat="false" ht="15" hidden="false" customHeight="false" outlineLevel="0" collapsed="false">
      <c r="A50" s="6" t="s">
        <v>63</v>
      </c>
      <c r="F50" s="19" t="n">
        <f aca="false">SUMIF(C16:C40,"dirty",O16:O40)</f>
        <v>7220.32742155525</v>
      </c>
      <c r="G50" s="20" t="n">
        <f aca="false">F50/$F$43</f>
        <v>0.846078793129869</v>
      </c>
    </row>
    <row r="51" customFormat="false" ht="15" hidden="false" customHeight="false" outlineLevel="0" collapsed="false">
      <c r="A51" s="6" t="s">
        <v>64</v>
      </c>
      <c r="F51" s="19" t="n">
        <f aca="false">SUMIF(C16:C40,"clean",O16:O40)</f>
        <v>1313.54375</v>
      </c>
      <c r="G51" s="20" t="n">
        <f aca="false">F51/$F$43</f>
        <v>0.153921206870131</v>
      </c>
    </row>
    <row r="52" customFormat="false" ht="15" hidden="false" customHeight="false" outlineLevel="0" collapsed="false">
      <c r="A52" s="21" t="s">
        <v>65</v>
      </c>
    </row>
    <row r="53" customFormat="false" ht="15" hidden="false" customHeight="false" outlineLevel="0" collapsed="false">
      <c r="A53" s="2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2026-08-13T18:35:25Z</dcterms:created>
  <dc:creator>openpyxl</dc:creator>
  <dc:description/>
  <dc:language>en-US</dc:language>
  <cp:lastModifiedBy/>
  <dcterms:modified xsi:type="dcterms:W3CDTF">2026-08-13T18:35:29Z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